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0ABCAC-FCDC-4D06-BD71-368AF00526D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7" i="3" l="1"/>
  <c r="B5" i="3"/>
  <c r="B3" i="3"/>
  <c r="B2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I11" i="3"/>
  <c r="I2" i="3"/>
  <c r="F26" i="3"/>
  <c r="I22" i="3"/>
  <c r="I23" i="3"/>
  <c r="I24" i="3"/>
  <c r="I25" i="3"/>
  <c r="I26" i="3"/>
  <c r="I27" i="3"/>
  <c r="I28" i="3"/>
  <c r="I29" i="3"/>
  <c r="I30" i="3"/>
  <c r="I31" i="3"/>
  <c r="I32" i="3"/>
  <c r="I3" i="3"/>
  <c r="I4" i="3"/>
  <c r="I5" i="3"/>
  <c r="I6" i="3"/>
  <c r="I7" i="3"/>
  <c r="I8" i="3"/>
  <c r="I9" i="3"/>
  <c r="I10" i="3"/>
  <c r="I12" i="3"/>
  <c r="I13" i="3"/>
  <c r="I14" i="3"/>
  <c r="I15" i="3"/>
  <c r="I16" i="3"/>
  <c r="I17" i="3"/>
  <c r="I18" i="3"/>
  <c r="I19" i="3"/>
  <c r="I20" i="3"/>
  <c r="I21" i="3"/>
  <c r="C22" i="3"/>
  <c r="C23" i="3"/>
  <c r="C24" i="3"/>
  <c r="C25" i="3"/>
  <c r="C26" i="3"/>
  <c r="C27" i="3"/>
  <c r="C28" i="3"/>
  <c r="C29" i="3"/>
  <c r="C30" i="3"/>
  <c r="C31" i="3"/>
  <c r="C3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</calcChain>
</file>

<file path=xl/sharedStrings.xml><?xml version="1.0" encoding="utf-8"?>
<sst xmlns="http://schemas.openxmlformats.org/spreadsheetml/2006/main" count="290" uniqueCount="119">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</sst>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[$$-409]* #,##0.00_ ;_-[$$-409]* \-#,##0.00\ ;_-[$$-409]* &quot;-&quot;??_ ;_-@_ "/>
    <numFmt numFmtId="170" formatCode="[$-14009]dd/mm/yyyy;@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2" borderId="0">
      <alignment horizontal="center"/>
    </xf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168" fontId="0" fillId="0" borderId="0" xfId="0" applyNumberFormat="1" applyFont="1" applyAlignment="1"/>
    <xf numFmtId="0" fontId="9" fillId="2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170" fontId="8" fillId="0" borderId="0" xfId="0" applyNumberFormat="1" applyFont="1" applyAlignment="1">
      <alignment horizontal="left"/>
    </xf>
    <xf numFmtId="0" fontId="10" fillId="0" borderId="0" xfId="0" applyNumberFormat="1" applyFont="1" applyFill="1" applyBorder="1" applyAlignment="1" applyProtection="1">
      <alignment horizontal="left"/>
    </xf>
    <xf numFmtId="168" fontId="8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168" fontId="8" fillId="3" borderId="0" xfId="0" applyNumberFormat="1" applyFont="1" applyFill="1" applyAlignment="1">
      <alignment horizontal="left"/>
    </xf>
    <xf numFmtId="0" fontId="8" fillId="4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168" fontId="11" fillId="0" borderId="0" xfId="0" applyNumberFormat="1" applyFont="1" applyAlignment="1">
      <alignment horizontal="left"/>
    </xf>
  </cellXfs>
  <cellStyles count="2">
    <cellStyle name="Normal" xfId="0" builtinId="0"/>
    <cellStyle name="Style 1" xfId="1" xr:uid="{5410B9A9-D8B5-43C1-AABF-1D8AF3E009C8}"/>
  </cellStyles>
  <dxfs count="12">
    <dxf>
      <font>
        <strike val="0"/>
        <outline val="0"/>
        <shadow val="0"/>
        <u val="none"/>
        <vertAlign val="baseline"/>
        <sz val="10"/>
        <color theme="1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8" formatCode="_-[$$-409]* #,##0.00_ ;_-[$$-409]* \-#,##0.00\ ;_-[$$-409]* &quot;-&quot;??_ ;_-@_ 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0" formatCode="[$-14009]dd/mm/yy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9E987E-BD53-4364-B702-F1CB7BEA394F}" name="Table4" displayName="Table4" ref="A1:I32" totalsRowShown="0" headerRowDxfId="1" dataDxfId="0">
  <tableColumns count="9">
    <tableColumn id="1" xr3:uid="{65B2E695-141C-4796-A7F6-0CC3E1B8A3B8}" name="Product ID" dataDxfId="10"/>
    <tableColumn id="2" xr3:uid="{B4DA1FEF-7981-4C9D-81B2-DF04C7B5B50A}" name="Manufacturing Date" dataDxfId="9">
      <calculatedColumnFormula>DATE(2026,MATCH(MID(A2,4,3),{"JAN","FEB","MAR","APR","MAY","JUN","JUL","AUG","SEP","OCT","NOV","DEC"},0),VALUE(LEFT(A2,2)))</calculatedColumnFormula>
    </tableColumn>
    <tableColumn id="3" xr3:uid="{98C03EF7-7585-443A-AC34-FCA50A3C9704}" name="Country Code" dataDxfId="8">
      <calculatedColumnFormula>RIGHT(A2,2)</calculatedColumnFormula>
    </tableColumn>
    <tableColumn id="4" xr3:uid="{0B10CB3D-D602-4D4E-A5B9-770081C85A8C}" name="Product Name" dataDxfId="7"/>
    <tableColumn id="5" xr3:uid="{BBEAF1B9-345D-4A2C-895E-A9C5A1038D63}" name="Brand Name" dataDxfId="6"/>
    <tableColumn id="6" xr3:uid="{F5677EA2-C792-4A02-87BE-637BAFC41D43}" name="Price ($)" dataDxfId="5"/>
    <tableColumn id="7" xr3:uid="{ADBFAF43-EB1D-4B6B-AF75-9D40D72C897F}" name="Quantity" dataDxfId="4"/>
    <tableColumn id="8" xr3:uid="{F1A82C81-CF85-4E52-84A2-CE66C6DA555E}" name="Category" dataDxfId="3"/>
    <tableColumn id="9" xr3:uid="{256EDFC2-9396-45D7-90CA-698DB5D23FC4}" name="Product Brand" dataDxfId="2">
      <calculatedColumnFormula>E2&amp;" "&amp;D2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6" workbookViewId="0">
      <selection activeCell="G14" sqref="G1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3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3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3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3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3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3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3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3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3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35" sqref="A1:F3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5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3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3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3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5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5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5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5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5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5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5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5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5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5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5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5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5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5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5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5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5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5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5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5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5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5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5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5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5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5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5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5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5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5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616C-2858-40DC-8B91-6541231F6397}">
  <dimension ref="A1:K32"/>
  <sheetViews>
    <sheetView tabSelected="1" workbookViewId="0">
      <selection activeCell="F8" sqref="F8"/>
    </sheetView>
  </sheetViews>
  <sheetFormatPr defaultRowHeight="13.2" x14ac:dyDescent="0.25"/>
  <cols>
    <col min="1" max="1" width="19.88671875" customWidth="1"/>
    <col min="2" max="2" width="18.33203125" customWidth="1"/>
    <col min="3" max="3" width="18" customWidth="1"/>
    <col min="4" max="4" width="20.21875" customWidth="1"/>
    <col min="5" max="5" width="21.88671875" customWidth="1"/>
    <col min="6" max="6" width="15.6640625" customWidth="1"/>
    <col min="7" max="7" width="16.6640625" customWidth="1"/>
    <col min="8" max="8" width="19.21875" customWidth="1"/>
    <col min="9" max="9" width="24.5546875" customWidth="1"/>
  </cols>
  <sheetData>
    <row r="1" spans="1:11" ht="15" x14ac:dyDescent="0.35">
      <c r="A1" s="13" t="s">
        <v>19</v>
      </c>
      <c r="B1" s="13" t="s">
        <v>116</v>
      </c>
      <c r="C1" s="13" t="s">
        <v>117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4" t="s">
        <v>118</v>
      </c>
    </row>
    <row r="2" spans="1:11" ht="15" x14ac:dyDescent="0.35">
      <c r="A2" s="15" t="s">
        <v>25</v>
      </c>
      <c r="B2" s="16">
        <f>DATE(2026,MATCH(MID(A2,4,3),{"JAN","FEB","MAR","APR","MAY","JUN","JUL","AUG","SEP","OCT","NOV","DEC"},0),VALUE(LEFT(A2,2)))</f>
        <v>46050</v>
      </c>
      <c r="C2" s="23" t="str">
        <f>RIGHT(A2,2)</f>
        <v>US</v>
      </c>
      <c r="D2" s="17" t="s">
        <v>61</v>
      </c>
      <c r="E2" s="15" t="s">
        <v>27</v>
      </c>
      <c r="F2" s="18">
        <v>1000</v>
      </c>
      <c r="G2" s="15">
        <v>30</v>
      </c>
      <c r="H2" s="15" t="s">
        <v>28</v>
      </c>
      <c r="I2" s="19" t="str">
        <f>E2&amp;" "&amp;D2</f>
        <v>Dell Laptop</v>
      </c>
    </row>
    <row r="3" spans="1:11" ht="15" x14ac:dyDescent="0.35">
      <c r="A3" s="20" t="s">
        <v>29</v>
      </c>
      <c r="B3" s="16">
        <f>DATE(2026,MATCH(MID(A3,4,3),{"JAN","FEB","MAR","APR","MAY","JUN","JUL","AUG","SEP","OCT","NOV","DEC"},0),VALUE(LEFT(A3,2)))</f>
        <v>46068</v>
      </c>
      <c r="C3" s="23" t="str">
        <f t="shared" ref="C3:C32" si="0">RIGHT(A3,2)</f>
        <v>US</v>
      </c>
      <c r="D3" s="20" t="s">
        <v>30</v>
      </c>
      <c r="E3" s="20" t="s">
        <v>31</v>
      </c>
      <c r="F3" s="21">
        <v>80</v>
      </c>
      <c r="G3" s="20">
        <v>15</v>
      </c>
      <c r="H3" s="20" t="s">
        <v>32</v>
      </c>
      <c r="I3" s="19" t="str">
        <f t="shared" ref="I3:I32" si="1">E3&amp;" "&amp;D3</f>
        <v>Nike Sneakers</v>
      </c>
    </row>
    <row r="4" spans="1:11" ht="15" x14ac:dyDescent="0.35">
      <c r="A4" s="15" t="s">
        <v>33</v>
      </c>
      <c r="B4" s="16">
        <f>DATE(2026,MATCH(MID(A4,4,3),{"JAN","FEB","MAR","APR","MAY","JUN","JUL","AUG","SEP","OCT","NOV","DEC"},0),VALUE(LEFT(A4,2)))</f>
        <v>46084</v>
      </c>
      <c r="C4" s="23" t="str">
        <f t="shared" si="0"/>
        <v>US</v>
      </c>
      <c r="D4" s="15" t="s">
        <v>34</v>
      </c>
      <c r="E4" s="15" t="s">
        <v>35</v>
      </c>
      <c r="F4" s="18">
        <v>130</v>
      </c>
      <c r="G4" s="15">
        <v>40</v>
      </c>
      <c r="H4" s="15" t="s">
        <v>36</v>
      </c>
      <c r="I4" s="19" t="str">
        <f t="shared" si="1"/>
        <v>Keurig Coffee Maker</v>
      </c>
    </row>
    <row r="5" spans="1:11" ht="15" x14ac:dyDescent="0.35">
      <c r="A5" s="20" t="s">
        <v>37</v>
      </c>
      <c r="B5" s="16">
        <f>DATE(2026,MATCH(MID(A5,4,3),{"JAN","FEB","MAR","APR","MAY","JUN","JUL","AUG","SEP","OCT","NOV","DEC"},0),VALUE(LEFT(A5,2)))</f>
        <v>46123</v>
      </c>
      <c r="C5" s="23" t="str">
        <f t="shared" si="0"/>
        <v>US</v>
      </c>
      <c r="D5" s="17" t="s">
        <v>96</v>
      </c>
      <c r="E5" s="20" t="s">
        <v>39</v>
      </c>
      <c r="F5" s="21">
        <v>900</v>
      </c>
      <c r="G5" s="20">
        <v>25</v>
      </c>
      <c r="H5" s="20" t="s">
        <v>28</v>
      </c>
      <c r="I5" s="19" t="str">
        <f t="shared" si="1"/>
        <v>Samsung Smartphone</v>
      </c>
    </row>
    <row r="6" spans="1:11" ht="15" x14ac:dyDescent="0.35">
      <c r="A6" s="15" t="s">
        <v>40</v>
      </c>
      <c r="B6" s="16">
        <f>DATE(2026,MATCH(MID(A6,4,3),{"JAN","FEB","MAR","APR","MAY","JUN","JUL","AUG","SEP","OCT","NOV","DEC"},0),VALUE(LEFT(A6,2)))</f>
        <v>46164</v>
      </c>
      <c r="C6" s="23" t="str">
        <f t="shared" si="0"/>
        <v>US</v>
      </c>
      <c r="D6" s="15" t="s">
        <v>41</v>
      </c>
      <c r="E6" s="15" t="s">
        <v>42</v>
      </c>
      <c r="F6" s="18">
        <v>70</v>
      </c>
      <c r="G6" s="15">
        <v>20</v>
      </c>
      <c r="H6" s="19" t="s">
        <v>75</v>
      </c>
      <c r="I6" s="19" t="str">
        <f t="shared" si="1"/>
        <v>North Face Backpack</v>
      </c>
    </row>
    <row r="7" spans="1:11" ht="15" x14ac:dyDescent="0.35">
      <c r="A7" s="20" t="s">
        <v>43</v>
      </c>
      <c r="B7" s="16">
        <f>DATE(2026,MATCH(MID(A7,4,3),{"JAN","FEB","MAR","APR","MAY","JUN","JUL","AUG","SEP","OCT","NOV","DEC"},0),VALUE(LEFT(A7,2)))</f>
        <v>46180</v>
      </c>
      <c r="C7" s="23" t="str">
        <f t="shared" si="0"/>
        <v>UK</v>
      </c>
      <c r="D7" s="20" t="s">
        <v>44</v>
      </c>
      <c r="E7" s="20" t="s">
        <v>45</v>
      </c>
      <c r="F7" s="24">
        <f>MEDIAN(F2,F5,F10,F12,F15,F16,F18,F19,F22,F24,F25,F30)</f>
        <v>600</v>
      </c>
      <c r="G7" s="20">
        <v>45</v>
      </c>
      <c r="H7" s="20" t="s">
        <v>28</v>
      </c>
      <c r="I7" s="19" t="str">
        <f t="shared" si="1"/>
        <v>Sony Headphones</v>
      </c>
    </row>
    <row r="8" spans="1:11" ht="15" x14ac:dyDescent="0.35">
      <c r="A8" s="15" t="s">
        <v>47</v>
      </c>
      <c r="B8" s="16">
        <f>DATE(2026,MATCH(MID(A8,4,3),{"JAN","FEB","MAR","APR","MAY","JUN","JUL","AUG","SEP","OCT","NOV","DEC"},0),VALUE(LEFT(A8,2)))</f>
        <v>46222</v>
      </c>
      <c r="C8" s="23" t="str">
        <f t="shared" si="0"/>
        <v>UK</v>
      </c>
      <c r="D8" s="15" t="s">
        <v>48</v>
      </c>
      <c r="E8" s="15" t="s">
        <v>49</v>
      </c>
      <c r="F8" s="18">
        <v>30</v>
      </c>
      <c r="G8" s="15">
        <v>5</v>
      </c>
      <c r="H8" s="15" t="s">
        <v>32</v>
      </c>
      <c r="I8" s="19" t="str">
        <f t="shared" si="1"/>
        <v>Adidas T-shirt</v>
      </c>
    </row>
    <row r="9" spans="1:11" ht="15" x14ac:dyDescent="0.35">
      <c r="A9" s="20" t="s">
        <v>50</v>
      </c>
      <c r="B9" s="16">
        <f>DATE(2026,MATCH(MID(A9,4,3),{"JAN","FEB","MAR","APR","MAY","JUN","JUL","AUG","SEP","OCT","NOV","DEC"},0),VALUE(LEFT(A9,2)))</f>
        <v>46257</v>
      </c>
      <c r="C9" s="23" t="str">
        <f t="shared" si="0"/>
        <v>UK</v>
      </c>
      <c r="D9" s="20" t="s">
        <v>51</v>
      </c>
      <c r="E9" s="20" t="s">
        <v>52</v>
      </c>
      <c r="F9" s="21">
        <v>90</v>
      </c>
      <c r="G9" s="20">
        <v>35</v>
      </c>
      <c r="H9" s="20" t="s">
        <v>36</v>
      </c>
      <c r="I9" s="19" t="str">
        <f t="shared" si="1"/>
        <v>Ninja Blender</v>
      </c>
      <c r="K9" s="12"/>
    </row>
    <row r="10" spans="1:11" ht="15" x14ac:dyDescent="0.35">
      <c r="A10" s="15" t="s">
        <v>53</v>
      </c>
      <c r="B10" s="16">
        <f>DATE(2026,MATCH(MID(A10,4,3),{"JAN","FEB","MAR","APR","MAY","JUN","JUL","AUG","SEP","OCT","NOV","DEC"},0),VALUE(LEFT(A10,2)))</f>
        <v>46270</v>
      </c>
      <c r="C10" s="23" t="str">
        <f t="shared" si="0"/>
        <v>UK</v>
      </c>
      <c r="D10" s="15" t="s">
        <v>54</v>
      </c>
      <c r="E10" s="15" t="s">
        <v>55</v>
      </c>
      <c r="F10" s="18">
        <v>500</v>
      </c>
      <c r="G10" s="15">
        <v>50</v>
      </c>
      <c r="H10" s="15" t="s">
        <v>28</v>
      </c>
      <c r="I10" s="19" t="str">
        <f t="shared" si="1"/>
        <v>Apple Tablet</v>
      </c>
    </row>
    <row r="11" spans="1:11" ht="15" x14ac:dyDescent="0.35">
      <c r="A11" s="20" t="s">
        <v>56</v>
      </c>
      <c r="B11" s="16">
        <f>DATE(2026,MATCH(MID(A11,4,3),{"JAN","FEB","MAR","APR","MAY","JUN","JUL","AUG","SEP","OCT","NOV","DEC"},0),VALUE(LEFT(A11,2)))</f>
        <v>46309</v>
      </c>
      <c r="C11" s="23" t="str">
        <f t="shared" si="0"/>
        <v>UK</v>
      </c>
      <c r="D11" s="22" t="s">
        <v>57</v>
      </c>
      <c r="E11" s="20" t="s">
        <v>58</v>
      </c>
      <c r="F11" s="21">
        <v>130</v>
      </c>
      <c r="G11" s="20">
        <v>10</v>
      </c>
      <c r="H11" s="20" t="s">
        <v>59</v>
      </c>
      <c r="I11" s="19" t="str">
        <f>E11&amp;" "&amp;D11</f>
        <v>Timberland Hiking Boots</v>
      </c>
    </row>
    <row r="12" spans="1:11" ht="15" x14ac:dyDescent="0.35">
      <c r="A12" s="15" t="s">
        <v>60</v>
      </c>
      <c r="B12" s="16">
        <f>DATE(2026,MATCH(MID(A12,4,3),{"JAN","FEB","MAR","APR","MAY","JUN","JUL","AUG","SEP","OCT","NOV","DEC"},0),VALUE(LEFT(A12,2)))</f>
        <v>46190</v>
      </c>
      <c r="C12" s="23" t="str">
        <f t="shared" si="0"/>
        <v>IN</v>
      </c>
      <c r="D12" s="15" t="s">
        <v>61</v>
      </c>
      <c r="E12" s="15" t="s">
        <v>62</v>
      </c>
      <c r="F12" s="18">
        <v>950</v>
      </c>
      <c r="G12" s="15">
        <v>25</v>
      </c>
      <c r="H12" s="15" t="s">
        <v>28</v>
      </c>
      <c r="I12" s="19" t="str">
        <f t="shared" si="1"/>
        <v>HP Laptop</v>
      </c>
    </row>
    <row r="13" spans="1:11" ht="15" x14ac:dyDescent="0.35">
      <c r="A13" s="20" t="s">
        <v>63</v>
      </c>
      <c r="B13" s="16">
        <f>DATE(2026,MATCH(MID(A13,4,3),{"JAN","FEB","MAR","APR","MAY","JUN","JUL","AUG","SEP","OCT","NOV","DEC"},0),VALUE(LEFT(A13,2)))</f>
        <v>46351</v>
      </c>
      <c r="C13" s="23" t="str">
        <f t="shared" si="0"/>
        <v>AU</v>
      </c>
      <c r="D13" s="20" t="s">
        <v>30</v>
      </c>
      <c r="E13" s="20" t="s">
        <v>49</v>
      </c>
      <c r="F13" s="21">
        <v>90</v>
      </c>
      <c r="G13" s="20">
        <v>40</v>
      </c>
      <c r="H13" s="19" t="s">
        <v>32</v>
      </c>
      <c r="I13" s="19" t="str">
        <f t="shared" si="1"/>
        <v>Adidas Sneakers</v>
      </c>
    </row>
    <row r="14" spans="1:11" ht="15" x14ac:dyDescent="0.35">
      <c r="A14" s="15" t="s">
        <v>64</v>
      </c>
      <c r="B14" s="16">
        <f>DATE(2026,MATCH(MID(A14,4,3),{"JAN","FEB","MAR","APR","MAY","JUN","JUL","AUG","SEP","OCT","NOV","DEC"},0),VALUE(LEFT(A14,2)))</f>
        <v>46364</v>
      </c>
      <c r="C14" s="23" t="str">
        <f t="shared" si="0"/>
        <v>DE</v>
      </c>
      <c r="D14" s="15" t="s">
        <v>34</v>
      </c>
      <c r="E14" s="15" t="s">
        <v>65</v>
      </c>
      <c r="F14" s="18">
        <v>120</v>
      </c>
      <c r="G14" s="15">
        <v>35</v>
      </c>
      <c r="H14" s="19" t="s">
        <v>36</v>
      </c>
      <c r="I14" s="19" t="str">
        <f t="shared" si="1"/>
        <v>Nespresso Coffee Maker</v>
      </c>
    </row>
    <row r="15" spans="1:11" ht="15" x14ac:dyDescent="0.35">
      <c r="A15" s="20" t="s">
        <v>66</v>
      </c>
      <c r="B15" s="16">
        <f>DATE(2026,MATCH(MID(A15,4,3),{"JAN","FEB","MAR","APR","MAY","JUN","JUL","AUG","SEP","OCT","NOV","DEC"},0),VALUE(LEFT(A15,2)))</f>
        <v>46071</v>
      </c>
      <c r="C15" s="23" t="str">
        <f t="shared" si="0"/>
        <v>CA</v>
      </c>
      <c r="D15" s="20" t="s">
        <v>67</v>
      </c>
      <c r="E15" s="20" t="s">
        <v>68</v>
      </c>
      <c r="F15" s="21">
        <v>150</v>
      </c>
      <c r="G15" s="20">
        <v>15</v>
      </c>
      <c r="H15" s="20" t="s">
        <v>28</v>
      </c>
      <c r="I15" s="19" t="str">
        <f t="shared" si="1"/>
        <v>Fitbit Smartwatch</v>
      </c>
    </row>
    <row r="16" spans="1:11" ht="15" x14ac:dyDescent="0.35">
      <c r="A16" s="15" t="s">
        <v>69</v>
      </c>
      <c r="B16" s="16">
        <f>DATE(2026,MATCH(MID(A16,4,3),{"JAN","FEB","MAR","APR","MAY","JUN","JUL","AUG","SEP","OCT","NOV","DEC"},0),VALUE(LEFT(A16,2)))</f>
        <v>46128</v>
      </c>
      <c r="C16" s="23" t="str">
        <f t="shared" si="0"/>
        <v>ES</v>
      </c>
      <c r="D16" s="17" t="s">
        <v>44</v>
      </c>
      <c r="E16" s="15" t="s">
        <v>71</v>
      </c>
      <c r="F16" s="18">
        <v>250</v>
      </c>
      <c r="G16" s="15">
        <v>20</v>
      </c>
      <c r="H16" s="15" t="s">
        <v>28</v>
      </c>
      <c r="I16" s="19" t="str">
        <f t="shared" si="1"/>
        <v>Bose Headphones</v>
      </c>
    </row>
    <row r="17" spans="1:9" ht="15" x14ac:dyDescent="0.35">
      <c r="A17" s="20" t="s">
        <v>72</v>
      </c>
      <c r="B17" s="16">
        <f>DATE(2026,MATCH(MID(A17,4,3),{"JAN","FEB","MAR","APR","MAY","JUN","JUL","AUG","SEP","OCT","NOV","DEC"},0),VALUE(LEFT(A17,2)))</f>
        <v>46255</v>
      </c>
      <c r="C17" s="23" t="str">
        <f t="shared" si="0"/>
        <v>CA</v>
      </c>
      <c r="D17" s="20" t="s">
        <v>73</v>
      </c>
      <c r="E17" s="20" t="s">
        <v>74</v>
      </c>
      <c r="F17" s="21">
        <v>50</v>
      </c>
      <c r="G17" s="20">
        <v>35</v>
      </c>
      <c r="H17" s="20" t="s">
        <v>75</v>
      </c>
      <c r="I17" s="19" t="str">
        <f t="shared" si="1"/>
        <v>Samsonite Laptop Bag</v>
      </c>
    </row>
    <row r="18" spans="1:9" ht="15" x14ac:dyDescent="0.35">
      <c r="A18" s="15" t="s">
        <v>76</v>
      </c>
      <c r="B18" s="16">
        <f>DATE(2026,MATCH(MID(A18,4,3),{"JAN","FEB","MAR","APR","MAY","JUN","JUL","AUG","SEP","OCT","NOV","DEC"},0),VALUE(LEFT(A18,2)))</f>
        <v>46254</v>
      </c>
      <c r="C18" s="23" t="str">
        <f t="shared" si="0"/>
        <v>CN</v>
      </c>
      <c r="D18" s="15" t="s">
        <v>67</v>
      </c>
      <c r="E18" s="15" t="s">
        <v>77</v>
      </c>
      <c r="F18" s="18">
        <v>160</v>
      </c>
      <c r="G18" s="15">
        <v>15</v>
      </c>
      <c r="H18" s="15" t="s">
        <v>28</v>
      </c>
      <c r="I18" s="19" t="str">
        <f t="shared" si="1"/>
        <v>Huawei Smartwatch</v>
      </c>
    </row>
    <row r="19" spans="1:9" ht="15" x14ac:dyDescent="0.35">
      <c r="A19" s="20" t="s">
        <v>78</v>
      </c>
      <c r="B19" s="16">
        <f>DATE(2026,MATCH(MID(A19,4,3),{"JAN","FEB","MAR","APR","MAY","JUN","JUL","AUG","SEP","OCT","NOV","DEC"},0),VALUE(LEFT(A19,2)))</f>
        <v>46049</v>
      </c>
      <c r="C19" s="23" t="str">
        <f t="shared" si="0"/>
        <v>IT</v>
      </c>
      <c r="D19" s="17" t="s">
        <v>61</v>
      </c>
      <c r="E19" s="20" t="s">
        <v>79</v>
      </c>
      <c r="F19" s="21">
        <v>980</v>
      </c>
      <c r="G19" s="20">
        <v>10</v>
      </c>
      <c r="H19" s="20" t="s">
        <v>28</v>
      </c>
      <c r="I19" s="19" t="str">
        <f t="shared" si="1"/>
        <v>Asus Laptop</v>
      </c>
    </row>
    <row r="20" spans="1:9" ht="15" x14ac:dyDescent="0.35">
      <c r="A20" s="15" t="s">
        <v>80</v>
      </c>
      <c r="B20" s="16">
        <f>DATE(2026,MATCH(MID(A20,4,3),{"JAN","FEB","MAR","APR","MAY","JUN","JUL","AUG","SEP","OCT","NOV","DEC"},0),VALUE(LEFT(A20,2)))</f>
        <v>46082</v>
      </c>
      <c r="C20" s="23" t="str">
        <f t="shared" si="0"/>
        <v>UK</v>
      </c>
      <c r="D20" s="15" t="s">
        <v>81</v>
      </c>
      <c r="E20" s="15" t="s">
        <v>82</v>
      </c>
      <c r="F20" s="18">
        <v>150</v>
      </c>
      <c r="G20" s="15">
        <v>15</v>
      </c>
      <c r="H20" s="15" t="s">
        <v>32</v>
      </c>
      <c r="I20" s="19" t="str">
        <f t="shared" si="1"/>
        <v>Oakley Sunglasses</v>
      </c>
    </row>
    <row r="21" spans="1:9" ht="15" x14ac:dyDescent="0.35">
      <c r="A21" s="20" t="s">
        <v>83</v>
      </c>
      <c r="B21" s="16">
        <f>DATE(2026,MATCH(MID(A21,4,3),{"JAN","FEB","MAR","APR","MAY","JUN","JUL","AUG","SEP","OCT","NOV","DEC"},0),VALUE(LEFT(A21,2)))</f>
        <v>46248</v>
      </c>
      <c r="C21" s="23" t="str">
        <f t="shared" si="0"/>
        <v>US</v>
      </c>
      <c r="D21" s="20" t="s">
        <v>84</v>
      </c>
      <c r="E21" s="20" t="s">
        <v>85</v>
      </c>
      <c r="F21" s="21">
        <v>130</v>
      </c>
      <c r="G21" s="20">
        <v>10</v>
      </c>
      <c r="H21" s="20" t="s">
        <v>59</v>
      </c>
      <c r="I21" s="19" t="str">
        <f t="shared" si="1"/>
        <v>Coleman Camping Tent</v>
      </c>
    </row>
    <row r="22" spans="1:9" ht="15" x14ac:dyDescent="0.35">
      <c r="A22" s="15" t="s">
        <v>86</v>
      </c>
      <c r="B22" s="16">
        <f>DATE(2026,MATCH(MID(A22,4,3),{"JAN","FEB","MAR","APR","MAY","JUN","JUL","AUG","SEP","OCT","NOV","DEC"},0),VALUE(LEFT(A22,2)))</f>
        <v>46156</v>
      </c>
      <c r="C22" s="23" t="str">
        <f>RIGHT(A22,2)</f>
        <v>RU</v>
      </c>
      <c r="D22" s="15" t="s">
        <v>87</v>
      </c>
      <c r="E22" s="15" t="s">
        <v>88</v>
      </c>
      <c r="F22" s="18">
        <v>700</v>
      </c>
      <c r="G22" s="15">
        <v>50</v>
      </c>
      <c r="H22" s="15" t="s">
        <v>28</v>
      </c>
      <c r="I22" s="19" t="str">
        <f t="shared" si="1"/>
        <v>Nikon Camera</v>
      </c>
    </row>
    <row r="23" spans="1:9" ht="15" x14ac:dyDescent="0.35">
      <c r="A23" s="20" t="s">
        <v>89</v>
      </c>
      <c r="B23" s="16">
        <f>DATE(2026,MATCH(MID(A23,4,3),{"JAN","FEB","MAR","APR","MAY","JUN","JUL","AUG","SEP","OCT","NOV","DEC"},0),VALUE(LEFT(A23,2)))</f>
        <v>46031</v>
      </c>
      <c r="C23" s="23" t="str">
        <f t="shared" si="0"/>
        <v>CA</v>
      </c>
      <c r="D23" s="20" t="s">
        <v>90</v>
      </c>
      <c r="E23" s="20" t="s">
        <v>91</v>
      </c>
      <c r="F23" s="21">
        <v>80</v>
      </c>
      <c r="G23" s="20">
        <v>20</v>
      </c>
      <c r="H23" s="20" t="s">
        <v>36</v>
      </c>
      <c r="I23" s="19" t="str">
        <f t="shared" si="1"/>
        <v>Panasonic Microwave</v>
      </c>
    </row>
    <row r="24" spans="1:9" ht="15" x14ac:dyDescent="0.35">
      <c r="A24" s="15" t="s">
        <v>92</v>
      </c>
      <c r="B24" s="16">
        <f>DATE(2026,MATCH(MID(A24,4,3),{"JAN","FEB","MAR","APR","MAY","JUN","JUL","AUG","SEP","OCT","NOV","DEC"},0),VALUE(LEFT(A24,2)))</f>
        <v>46222</v>
      </c>
      <c r="C24" s="23" t="str">
        <f t="shared" si="0"/>
        <v>BR</v>
      </c>
      <c r="D24" s="15" t="s">
        <v>93</v>
      </c>
      <c r="E24" s="15" t="s">
        <v>94</v>
      </c>
      <c r="F24" s="18">
        <v>150</v>
      </c>
      <c r="G24" s="15">
        <v>30</v>
      </c>
      <c r="H24" s="19" t="s">
        <v>28</v>
      </c>
      <c r="I24" s="19" t="str">
        <f t="shared" si="1"/>
        <v>Xiaomi Fitness Tracker</v>
      </c>
    </row>
    <row r="25" spans="1:9" ht="15" x14ac:dyDescent="0.35">
      <c r="A25" s="15" t="s">
        <v>95</v>
      </c>
      <c r="B25" s="16">
        <f>DATE(2026,MATCH(MID(A25,4,3),{"JAN","FEB","MAR","APR","MAY","JUN","JUL","AUG","SEP","OCT","NOV","DEC"},0),VALUE(LEFT(A25,2)))</f>
        <v>46294</v>
      </c>
      <c r="C25" s="23" t="str">
        <f t="shared" si="0"/>
        <v>CA</v>
      </c>
      <c r="D25" s="15" t="s">
        <v>96</v>
      </c>
      <c r="E25" s="15" t="s">
        <v>97</v>
      </c>
      <c r="F25" s="18">
        <v>800</v>
      </c>
      <c r="G25" s="15">
        <v>45</v>
      </c>
      <c r="H25" s="15" t="s">
        <v>28</v>
      </c>
      <c r="I25" s="19" t="str">
        <f t="shared" si="1"/>
        <v>Google Smartphone</v>
      </c>
    </row>
    <row r="26" spans="1:9" ht="15" x14ac:dyDescent="0.35">
      <c r="A26" s="20" t="s">
        <v>98</v>
      </c>
      <c r="B26" s="16">
        <f>DATE(2026,MATCH(MID(A26,4,3),{"JAN","FEB","MAR","APR","MAY","JUN","JUL","AUG","SEP","OCT","NOV","DEC"},0),VALUE(LEFT(A26,2)))</f>
        <v>46176</v>
      </c>
      <c r="C26" s="23" t="str">
        <f t="shared" si="0"/>
        <v>CA</v>
      </c>
      <c r="D26" s="20" t="s">
        <v>81</v>
      </c>
      <c r="E26" s="20" t="s">
        <v>99</v>
      </c>
      <c r="F26" s="21">
        <f>MEDIAN(F3,F8,F13,F20,F28,F31)</f>
        <v>70</v>
      </c>
      <c r="G26" s="20">
        <v>25</v>
      </c>
      <c r="H26" s="20" t="s">
        <v>32</v>
      </c>
      <c r="I26" s="19" t="str">
        <f t="shared" si="1"/>
        <v>Ray-Ban Sunglasses</v>
      </c>
    </row>
    <row r="27" spans="1:9" ht="15" x14ac:dyDescent="0.35">
      <c r="A27" s="15" t="s">
        <v>100</v>
      </c>
      <c r="B27" s="16">
        <f>DATE(2026,MATCH(MID(A27,4,3),{"JAN","FEB","MAR","APR","MAY","JUN","JUL","AUG","SEP","OCT","NOV","DEC"},0),VALUE(LEFT(A27,2)))</f>
        <v>46214</v>
      </c>
      <c r="C27" s="23" t="str">
        <f t="shared" si="0"/>
        <v>CA</v>
      </c>
      <c r="D27" s="15" t="s">
        <v>51</v>
      </c>
      <c r="E27" s="15" t="s">
        <v>101</v>
      </c>
      <c r="F27" s="18">
        <v>400</v>
      </c>
      <c r="G27" s="15">
        <v>40</v>
      </c>
      <c r="H27" s="15" t="s">
        <v>36</v>
      </c>
      <c r="I27" s="19" t="str">
        <f t="shared" si="1"/>
        <v>Vitamix Blender</v>
      </c>
    </row>
    <row r="28" spans="1:9" ht="15" x14ac:dyDescent="0.35">
      <c r="A28" s="15" t="s">
        <v>102</v>
      </c>
      <c r="B28" s="16">
        <f>DATE(2026,MATCH(MID(A28,4,3),{"JAN","FEB","MAR","APR","MAY","JUN","JUL","AUG","SEP","OCT","NOV","DEC"},0),VALUE(LEFT(A28,2)))</f>
        <v>46088</v>
      </c>
      <c r="C28" s="23" t="str">
        <f t="shared" si="0"/>
        <v>CA</v>
      </c>
      <c r="D28" s="15" t="s">
        <v>103</v>
      </c>
      <c r="E28" s="15" t="s">
        <v>104</v>
      </c>
      <c r="F28" s="18">
        <v>60</v>
      </c>
      <c r="G28" s="15">
        <v>30</v>
      </c>
      <c r="H28" s="15" t="s">
        <v>32</v>
      </c>
      <c r="I28" s="19" t="str">
        <f t="shared" si="1"/>
        <v>Zara Dress</v>
      </c>
    </row>
    <row r="29" spans="1:9" ht="15" x14ac:dyDescent="0.35">
      <c r="A29" s="20" t="s">
        <v>105</v>
      </c>
      <c r="B29" s="16">
        <f>DATE(2026,MATCH(MID(A29,4,3),{"JAN","FEB","MAR","APR","MAY","JUN","JUL","AUG","SEP","OCT","NOV","DEC"},0),VALUE(LEFT(A29,2)))</f>
        <v>46125</v>
      </c>
      <c r="C29" s="23" t="str">
        <f t="shared" si="0"/>
        <v>CA</v>
      </c>
      <c r="D29" s="20" t="s">
        <v>106</v>
      </c>
      <c r="E29" s="20" t="s">
        <v>107</v>
      </c>
      <c r="F29" s="21">
        <v>40</v>
      </c>
      <c r="G29" s="20">
        <v>10</v>
      </c>
      <c r="H29" s="20" t="s">
        <v>36</v>
      </c>
      <c r="I29" s="19" t="str">
        <f t="shared" si="1"/>
        <v>Hamilton Toaster</v>
      </c>
    </row>
    <row r="30" spans="1:9" ht="15" x14ac:dyDescent="0.35">
      <c r="A30" s="15" t="s">
        <v>108</v>
      </c>
      <c r="B30" s="16">
        <f>DATE(2026,MATCH(MID(A30,4,3),{"JAN","FEB","MAR","APR","MAY","JUN","JUL","AUG","SEP","OCT","NOV","DEC"},0),VALUE(LEFT(A30,2)))</f>
        <v>46166</v>
      </c>
      <c r="C30" s="23" t="str">
        <f t="shared" si="0"/>
        <v>CA</v>
      </c>
      <c r="D30" s="15" t="s">
        <v>93</v>
      </c>
      <c r="E30" s="15" t="s">
        <v>109</v>
      </c>
      <c r="F30" s="18">
        <v>130</v>
      </c>
      <c r="G30" s="15">
        <v>5</v>
      </c>
      <c r="H30" s="15" t="s">
        <v>28</v>
      </c>
      <c r="I30" s="19" t="str">
        <f t="shared" si="1"/>
        <v>Garmin Fitness Tracker</v>
      </c>
    </row>
    <row r="31" spans="1:9" ht="15" x14ac:dyDescent="0.35">
      <c r="A31" s="20" t="s">
        <v>110</v>
      </c>
      <c r="B31" s="16">
        <f>DATE(2026,MATCH(MID(A31,4,3),{"JAN","FEB","MAR","APR","MAY","JUN","JUL","AUG","SEP","OCT","NOV","DEC"},0),VALUE(LEFT(A31,2)))</f>
        <v>46358</v>
      </c>
      <c r="C31" s="23" t="str">
        <f t="shared" si="0"/>
        <v>CA</v>
      </c>
      <c r="D31" s="20" t="s">
        <v>111</v>
      </c>
      <c r="E31" s="20" t="s">
        <v>112</v>
      </c>
      <c r="F31" s="21">
        <v>50</v>
      </c>
      <c r="G31" s="20">
        <v>50</v>
      </c>
      <c r="H31" s="20" t="s">
        <v>32</v>
      </c>
      <c r="I31" s="19" t="str">
        <f t="shared" si="1"/>
        <v>Levi's Jeans</v>
      </c>
    </row>
    <row r="32" spans="1:9" ht="15" x14ac:dyDescent="0.35">
      <c r="A32" s="20" t="s">
        <v>113</v>
      </c>
      <c r="B32" s="16">
        <f>DATE(2026,MATCH(MID(A32,4,3),{"JAN","FEB","MAR","APR","MAY","JUN","JUL","AUG","SEP","OCT","NOV","DEC"},0),VALUE(LEFT(A32,2)))</f>
        <v>46212</v>
      </c>
      <c r="C32" s="23" t="str">
        <f t="shared" si="0"/>
        <v>FR</v>
      </c>
      <c r="D32" s="20" t="s">
        <v>114</v>
      </c>
      <c r="E32" s="20" t="s">
        <v>115</v>
      </c>
      <c r="F32" s="21">
        <v>100</v>
      </c>
      <c r="G32" s="20">
        <v>20</v>
      </c>
      <c r="H32" s="20" t="s">
        <v>75</v>
      </c>
      <c r="I32" s="19" t="str">
        <f t="shared" si="1"/>
        <v>Casio Watch</v>
      </c>
    </row>
  </sheetData>
  <conditionalFormatting sqref="F2:F3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{10090457-1A9F-46D8-88F9-2B57EBCEC8AF}</x14:id>
        </ext>
      </extLst>
    </cfRule>
  </conditionalFormatting>
  <conditionalFormatting sqref="H2:H32">
    <cfRule type="expression" priority="3">
      <formula>H2="Electronics"</formula>
    </cfRule>
    <cfRule type="cellIs" priority="2" operator="equal">
      <formula>"Electronics"</formula>
    </cfRule>
    <cfRule type="expression" dxfId="11" priority="1">
      <formula>H2="Electronics"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090457-1A9F-46D8-88F9-2B57EBCEC8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2026-09-23T12:36:43Z</dcterms:modified>
</cp:coreProperties>
</file>